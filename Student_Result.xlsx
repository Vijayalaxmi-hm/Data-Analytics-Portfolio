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T JOURNEY\excel\"/>
    </mc:Choice>
  </mc:AlternateContent>
  <xr:revisionPtr revIDLastSave="0" documentId="13_ncr:1_{ABF27254-3291-4340-88EC-7C2FCD4E25A7}" xr6:coauthVersionLast="47" xr6:coauthVersionMax="47" xr10:uidLastSave="{00000000-0000-0000-0000-000000000000}"/>
  <bookViews>
    <workbookView xWindow="-108" yWindow="-108" windowWidth="23256" windowHeight="12456" xr2:uid="{AB860958-EC39-4F3B-A16E-8DA407BAA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I4" i="1" s="1"/>
  <c r="G5" i="1"/>
  <c r="I5" i="1" s="1"/>
  <c r="G6" i="1"/>
  <c r="H6" i="1" s="1" a="1"/>
  <c r="H6" i="1" s="1"/>
  <c r="G7" i="1"/>
  <c r="H7" i="1" s="1" a="1"/>
  <c r="H7" i="1" s="1"/>
  <c r="G8" i="1"/>
  <c r="H8" i="1" s="1" a="1"/>
  <c r="H8" i="1" s="1"/>
  <c r="G9" i="1"/>
  <c r="I9" i="1" s="1"/>
  <c r="G10" i="1"/>
  <c r="H10" i="1" s="1" a="1"/>
  <c r="H10" i="1" s="1"/>
  <c r="G11" i="1"/>
  <c r="H11" i="1" s="1" a="1"/>
  <c r="H11" i="1" s="1"/>
  <c r="G12" i="1"/>
  <c r="I12" i="1" s="1"/>
  <c r="G13" i="1"/>
  <c r="I13" i="1" s="1"/>
  <c r="G14" i="1"/>
  <c r="H14" i="1" s="1" a="1"/>
  <c r="H14" i="1" s="1"/>
  <c r="G15" i="1"/>
  <c r="H15" i="1" s="1" a="1"/>
  <c r="H15" i="1" s="1"/>
  <c r="G16" i="1"/>
  <c r="H16" i="1" s="1" a="1"/>
  <c r="H16" i="1" s="1"/>
  <c r="G17" i="1"/>
  <c r="H17" i="1" s="1" a="1"/>
  <c r="H17" i="1" s="1"/>
  <c r="G18" i="1"/>
  <c r="H18" i="1" s="1" a="1"/>
  <c r="H18" i="1" s="1"/>
  <c r="G19" i="1"/>
  <c r="H19" i="1" s="1" a="1"/>
  <c r="H19" i="1" s="1"/>
  <c r="G20" i="1"/>
  <c r="I20" i="1" s="1"/>
  <c r="G21" i="1"/>
  <c r="I21" i="1" s="1"/>
  <c r="G22" i="1"/>
  <c r="H22" i="1" s="1" a="1"/>
  <c r="H22" i="1" s="1"/>
  <c r="G3" i="1"/>
  <c r="H3" i="1" s="1" a="1"/>
  <c r="H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  <c r="I19" i="1" l="1"/>
  <c r="H12" i="1" a="1"/>
  <c r="H12" i="1" s="1"/>
  <c r="I17" i="1"/>
  <c r="H20" i="1" a="1"/>
  <c r="H20" i="1" s="1"/>
  <c r="H9" i="1" a="1"/>
  <c r="H9" i="1" s="1"/>
  <c r="I11" i="1"/>
  <c r="H13" i="1" a="1"/>
  <c r="H13" i="1" s="1"/>
  <c r="I18" i="1"/>
  <c r="I10" i="1"/>
  <c r="H4" i="1" a="1"/>
  <c r="H4" i="1" s="1"/>
  <c r="H21" i="1" a="1"/>
  <c r="H21" i="1" s="1"/>
  <c r="H5" i="1" a="1"/>
  <c r="H5" i="1" s="1"/>
  <c r="I16" i="1"/>
  <c r="I8" i="1"/>
  <c r="I3" i="1"/>
  <c r="I15" i="1"/>
  <c r="I7" i="1"/>
  <c r="I22" i="1"/>
  <c r="I14" i="1"/>
  <c r="I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<sst xmlns="http://schemas.openxmlformats.org/spreadsheetml/2006/main" count="38" uniqueCount="38">
  <si>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>Roll  No</t>
  </si>
  <si>
    <t>Student Name</t>
  </si>
  <si>
    <t>English</t>
  </si>
  <si>
    <t>Maths</t>
  </si>
  <si>
    <t>Science</t>
  </si>
  <si>
    <t>Total</t>
  </si>
  <si>
    <t>Average</t>
  </si>
  <si>
    <t>Grade</t>
  </si>
  <si>
    <t>Result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</si>
  <si>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</si>
  <si>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</si>
  <si>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</si>
  <si>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</si>
  <si>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</si>
  <si>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</si>
  <si>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</si>
  <si>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</si>
  <si>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</si>
  <si>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Ananya</t>
  </si>
  <si>
    <t>Rahul</t>
  </si>
  <si>
    <t>bhavya</t>
  </si>
  <si>
    <t>vinuta</t>
  </si>
  <si>
    <t>geeta</t>
  </si>
  <si>
    <t>santosh</t>
  </si>
  <si>
    <t>farhin</t>
  </si>
  <si>
    <t>mahi</t>
  </si>
  <si>
    <t>keertan</t>
  </si>
  <si>
    <t>nikil</t>
  </si>
  <si>
    <t>hema</t>
  </si>
  <si>
    <t>guru</t>
  </si>
  <si>
    <t>viju</t>
  </si>
  <si>
    <t>jagan</t>
  </si>
  <si>
    <t>kavya</t>
  </si>
  <si>
    <t>yashna</t>
  </si>
  <si>
    <t>nani</t>
  </si>
  <si>
    <t>arya</t>
  </si>
  <si>
    <t>anaga</t>
  </si>
  <si>
    <t>ammu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</si>
</sst>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2" xfId="1" applyBorder="1"/>
    <xf numFmtId="0" fontId="1" fillId="2" borderId="3" xfId="1" applyBorder="1"/>
    <xf numFmtId="0" fontId="1" fillId="2" borderId="4" xfId="1" applyBorder="1"/>
  </cellXfs>
  <cellStyles count="2">
    <cellStyle name="Calculation" xfId="1" builtinId="22"/>
    <cellStyle name="Normal" xfId="0" builtinId="0"/>
  </cellStyles>
  <dxfs count="4">
    <dxf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  <dxf>
      <border outline="0">
        <top style="thin">
          <color rgb="FF7F7F7F"/>
        </top>
      </border>
    </dxf>
    <dxf>
      <border outline="0">
        <bottom style="thin">
          <color rgb="FF7F7F7F"/>
        </bottom>
      </border>
    </dxf>
    <dxf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480EFD-A569-4E26-A041-8EBE0D6E80D9}" name="Table2" displayName="Table2" ref="A1:I22" totalsRowShown="0" headerRowDxfId="0" headerRowBorderDxfId="2" tableBorderDxfId="3" totalsRowBorderDxfId="1" headerRowCellStyle="Calculation" dataCellStyle="Normal">
  <autoFilter ref="A1:I22" xr:uid="{71480EFD-A569-4E26-A041-8EBE0D6E80D9}"/>
  <tableColumns count="9">
    <tableColumn id="1" xr3:uid="{5F326DB8-F782-4DD5-BBA4-1EBE787DB695}" name="Column1" dataCellStyle="Normal"/>
    <tableColumn id="2" xr3:uid="{FBBA7C52-E9BF-417B-8B43-20DA260EC911}" name="Column2" dataCellStyle="Normal"/>
    <tableColumn id="3" xr3:uid="{F7572931-5A32-4CBE-8253-6061E3BA0D28}" name="Column3" dataCellStyle="Normal"/>
    <tableColumn id="4" xr3:uid="{53A07A85-B4FC-420C-B7BF-71839E82D91D}" name="Column4" dataCellStyle="Normal"/>
    <tableColumn id="5" xr3:uid="{021CDCA1-4C9E-4878-B63A-1794BDAB1147}" name="Column5" dataCellStyle="Normal"/>
    <tableColumn id="6" xr3:uid="{DF4AAA23-FCA3-4BF8-A5D5-FE6D772A9FC3}" name="Column6" dataCellStyle="Normal">
      <calculatedColumnFormula>SUM(C2:E2)</calculatedColumnFormula>
    </tableColumn>
    <tableColumn id="7" xr3:uid="{AD92F815-8504-4A1E-A4A4-3E0D94093825}" name="Column7" dataCellStyle="Normal">
      <calculatedColumnFormula>AVERAGE(C2:E2)</calculatedColumnFormula>
    </tableColumn>
    <tableColumn id="8" xr3:uid="{DC0CEF4B-3704-44CA-8732-34C1E8BB3CFC}" name="Column8" dataCellStyle="Normal">
      <calculatedColumnFormula array="1">_xlfn.IFS(G2&gt;=85,"A",G2&gt;=65,"B",G2&gt;=25,"C")</calculatedColumnFormula>
    </tableColumn>
    <tableColumn id="9" xr3:uid="{6E33F900-9A68-41EC-BF4C-63F2A8A50178}" name="Column9" dataCellStyle="Normal">
      <calculatedColumnFormula>IF(G2&gt;=40,"pass","fail")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7339-F568-497D-9E7F-C5CFC0D14C69}">
  <dimension ref="A1:I22"/>
  <sheetViews>
    <sheetView tabSelected="1" workbookViewId="0">
      <selection activeCell="J2" sqref="J2"/>
    </sheetView>
  </sheetViews>
  <sheetFormatPr defaultRowHeight="14.4" x14ac:dyDescent="0.3"/>
  <cols>
    <col min="1" max="1" width="11.88671875" customWidth="1"/>
    <col min="2" max="2" width="18.109375" customWidth="1"/>
    <col min="3" max="9" width="10.44140625" customWidth="1"/>
  </cols>
  <sheetData>
    <row r="1" spans="1:9" x14ac:dyDescent="0.3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3" t="s">
        <v>17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>
        <v>1</v>
      </c>
      <c r="B3" t="s">
        <v>18</v>
      </c>
      <c r="C3">
        <v>86</v>
      </c>
      <c r="D3">
        <v>76</v>
      </c>
      <c r="E3">
        <v>64</v>
      </c>
      <c r="F3">
        <f>SUM(C3:E3)</f>
        <v>226</v>
      </c>
      <c r="G3">
        <f>AVERAGE(C3:E3)</f>
        <v>75.333333333333329</v>
      </c>
      <c r="H3" t="str" cm="1">
        <f t="array" ref="H3">_xlfn.IFS(G3&gt;=85,"A",G3&gt;=65,"B",G3&gt;=25,"C")</f>
        <v>B</v>
      </c>
      <c r="I3" t="str">
        <f>IF(G3&gt;=40,"pass","fail")</f>
        <v>pass</v>
      </c>
    </row>
    <row r="4" spans="1:9" x14ac:dyDescent="0.3">
      <c r="A4">
        <v>2</v>
      </c>
      <c r="B4" t="s">
        <v>19</v>
      </c>
      <c r="C4">
        <v>65</v>
      </c>
      <c r="D4">
        <v>70</v>
      </c>
      <c r="E4">
        <v>78</v>
      </c>
      <c r="F4">
        <f>SUM(C4:E4)</f>
        <v>213</v>
      </c>
      <c r="G4">
        <f t="shared" ref="G4:G22" si="0">AVERAGE(C4:E4)</f>
        <v>71</v>
      </c>
      <c r="H4" t="str" cm="1">
        <f t="array" ref="H4">_xlfn.IFS(G4&gt;=85,"A",G4&gt;=65,"B",G4&gt;=25,"C")</f>
        <v>B</v>
      </c>
      <c r="I4" t="str">
        <f t="shared" ref="I4:I22" si="1">IF(G4&gt;=40,"pass","fail")</f>
        <v>pass</v>
      </c>
    </row>
    <row r="5" spans="1:9" x14ac:dyDescent="0.3">
      <c r="A5">
        <v>3</v>
      </c>
      <c r="B5" t="s">
        <v>20</v>
      </c>
      <c r="C5">
        <v>78</v>
      </c>
      <c r="D5">
        <v>65</v>
      </c>
      <c r="E5">
        <v>65</v>
      </c>
      <c r="F5">
        <f>SUM(C5:E5)</f>
        <v>208</v>
      </c>
      <c r="G5">
        <f t="shared" si="0"/>
        <v>69.333333333333329</v>
      </c>
      <c r="H5" t="str" cm="1">
        <f t="array" ref="H5">_xlfn.IFS(G5&gt;=85,"A",G5&gt;=65,"B",G5&gt;=25,"C")</f>
        <v>B</v>
      </c>
      <c r="I5" t="str">
        <f t="shared" si="1"/>
        <v>pass</v>
      </c>
    </row>
    <row r="6" spans="1:9" x14ac:dyDescent="0.3">
      <c r="A6">
        <v>4</v>
      </c>
      <c r="B6" t="s">
        <v>21</v>
      </c>
      <c r="C6">
        <v>89</v>
      </c>
      <c r="D6">
        <v>80</v>
      </c>
      <c r="E6">
        <v>79</v>
      </c>
      <c r="F6">
        <f>SUM(C6:E6)</f>
        <v>248</v>
      </c>
      <c r="G6">
        <f t="shared" si="0"/>
        <v>82.666666666666671</v>
      </c>
      <c r="H6" t="str" cm="1">
        <f t="array" ref="H6">_xlfn.IFS(G6&gt;=85,"A",G6&gt;=65,"B",G6&gt;=25,"C")</f>
        <v>B</v>
      </c>
      <c r="I6" t="str">
        <f t="shared" si="1"/>
        <v>pass</v>
      </c>
    </row>
    <row r="7" spans="1:9" x14ac:dyDescent="0.3">
      <c r="A7">
        <v>5</v>
      </c>
      <c r="B7" t="s">
        <v>22</v>
      </c>
      <c r="C7">
        <v>85</v>
      </c>
      <c r="D7">
        <v>60</v>
      </c>
      <c r="E7">
        <v>61</v>
      </c>
      <c r="F7">
        <f>SUM(C7:E7)</f>
        <v>206</v>
      </c>
      <c r="G7">
        <f t="shared" si="0"/>
        <v>68.666666666666671</v>
      </c>
      <c r="H7" t="str" cm="1">
        <f t="array" ref="H7">_xlfn.IFS(G7&gt;=85,"A",G7&gt;=65,"B",G7&gt;=25,"C")</f>
        <v>B</v>
      </c>
      <c r="I7" t="str">
        <f t="shared" si="1"/>
        <v>pass</v>
      </c>
    </row>
    <row r="8" spans="1:9" x14ac:dyDescent="0.3">
      <c r="A8">
        <v>6</v>
      </c>
      <c r="B8" t="s">
        <v>23</v>
      </c>
      <c r="C8">
        <v>34</v>
      </c>
      <c r="D8">
        <v>11</v>
      </c>
      <c r="E8">
        <v>40</v>
      </c>
      <c r="F8">
        <f>SUM(C8:E8)</f>
        <v>85</v>
      </c>
      <c r="G8">
        <f t="shared" si="0"/>
        <v>28.333333333333332</v>
      </c>
      <c r="H8" t="str" cm="1">
        <f t="array" ref="H8">_xlfn.IFS(G8&gt;=85,"A",G8&gt;=65,"B",G8&gt;=25,"C")</f>
        <v>C</v>
      </c>
      <c r="I8" t="str">
        <f t="shared" si="1"/>
        <v>fail</v>
      </c>
    </row>
    <row r="9" spans="1:9" x14ac:dyDescent="0.3">
      <c r="A9">
        <v>7</v>
      </c>
      <c r="B9" t="s">
        <v>24</v>
      </c>
      <c r="C9">
        <v>10</v>
      </c>
      <c r="D9">
        <v>9</v>
      </c>
      <c r="E9">
        <v>44</v>
      </c>
      <c r="F9">
        <f>SUM(C9:E9)</f>
        <v>63</v>
      </c>
      <c r="G9">
        <f t="shared" si="0"/>
        <v>21</v>
      </c>
      <c r="H9" t="e" cm="1">
        <f t="array" ref="H9">_xlfn.IFS(G9&gt;=85,"A",G9&gt;=65,"B",G9&gt;=25,"C")</f>
        <v>#N/A</v>
      </c>
      <c r="I9" t="str">
        <f t="shared" si="1"/>
        <v>fail</v>
      </c>
    </row>
    <row r="10" spans="1:9" x14ac:dyDescent="0.3">
      <c r="A10">
        <v>8</v>
      </c>
      <c r="B10" t="s">
        <v>25</v>
      </c>
      <c r="C10">
        <v>29</v>
      </c>
      <c r="D10">
        <v>35</v>
      </c>
      <c r="E10">
        <v>45</v>
      </c>
      <c r="F10">
        <f>SUM(C10:E10)</f>
        <v>109</v>
      </c>
      <c r="G10">
        <f t="shared" si="0"/>
        <v>36.333333333333336</v>
      </c>
      <c r="H10" t="str" cm="1">
        <f t="array" ref="H10">_xlfn.IFS(G10&gt;=85,"A",G10&gt;=65,"B",G10&gt;=25,"C")</f>
        <v>C</v>
      </c>
      <c r="I10" t="str">
        <f t="shared" si="1"/>
        <v>fail</v>
      </c>
    </row>
    <row r="11" spans="1:9" x14ac:dyDescent="0.3">
      <c r="A11">
        <v>9</v>
      </c>
      <c r="B11" t="s">
        <v>26</v>
      </c>
      <c r="C11">
        <v>27</v>
      </c>
      <c r="D11">
        <v>32</v>
      </c>
      <c r="E11">
        <v>33</v>
      </c>
      <c r="F11">
        <f>SUM(C11:E11)</f>
        <v>92</v>
      </c>
      <c r="G11">
        <f t="shared" si="0"/>
        <v>30.666666666666668</v>
      </c>
      <c r="H11" t="str" cm="1">
        <f t="array" ref="H11">_xlfn.IFS(G11&gt;=85,"A",G11&gt;=65,"B",G11&gt;=25,"C")</f>
        <v>C</v>
      </c>
      <c r="I11" t="str">
        <f t="shared" si="1"/>
        <v>fail</v>
      </c>
    </row>
    <row r="12" spans="1:9" x14ac:dyDescent="0.3">
      <c r="A12">
        <v>10</v>
      </c>
      <c r="B12" t="s">
        <v>27</v>
      </c>
      <c r="C12">
        <v>88</v>
      </c>
      <c r="D12">
        <v>79</v>
      </c>
      <c r="E12">
        <v>66</v>
      </c>
      <c r="F12">
        <f>SUM(C12:E12)</f>
        <v>233</v>
      </c>
      <c r="G12">
        <f t="shared" si="0"/>
        <v>77.666666666666671</v>
      </c>
      <c r="H12" t="str" cm="1">
        <f t="array" ref="H12">_xlfn.IFS(G12&gt;=85,"A",G12&gt;=65,"B",G12&gt;=25,"C")</f>
        <v>B</v>
      </c>
      <c r="I12" t="str">
        <f t="shared" si="1"/>
        <v>pass</v>
      </c>
    </row>
    <row r="13" spans="1:9" x14ac:dyDescent="0.3">
      <c r="A13">
        <v>11</v>
      </c>
      <c r="B13" t="s">
        <v>28</v>
      </c>
      <c r="C13">
        <v>15</v>
      </c>
      <c r="D13">
        <v>10</v>
      </c>
      <c r="E13">
        <v>38</v>
      </c>
      <c r="F13">
        <f>SUM(C13:E13)</f>
        <v>63</v>
      </c>
      <c r="G13">
        <f t="shared" si="0"/>
        <v>21</v>
      </c>
      <c r="H13" t="e" cm="1">
        <f t="array" ref="H13">_xlfn.IFS(G13&gt;=85,"A",G13&gt;=65,"B",G13&gt;=25,"C")</f>
        <v>#N/A</v>
      </c>
      <c r="I13" t="str">
        <f t="shared" si="1"/>
        <v>fail</v>
      </c>
    </row>
    <row r="14" spans="1:9" x14ac:dyDescent="0.3">
      <c r="A14">
        <v>12</v>
      </c>
      <c r="B14" t="s">
        <v>29</v>
      </c>
      <c r="C14">
        <v>78</v>
      </c>
      <c r="D14">
        <v>89</v>
      </c>
      <c r="E14">
        <v>90</v>
      </c>
      <c r="F14">
        <f>SUM(C14:E14)</f>
        <v>257</v>
      </c>
      <c r="G14">
        <f t="shared" si="0"/>
        <v>85.666666666666671</v>
      </c>
      <c r="H14" t="str" cm="1">
        <f t="array" ref="H14">_xlfn.IFS(G14&gt;=85,"A",G14&gt;=65,"B",G14&gt;=25,"C")</f>
        <v>A</v>
      </c>
      <c r="I14" t="str">
        <f t="shared" si="1"/>
        <v>pass</v>
      </c>
    </row>
    <row r="15" spans="1:9" x14ac:dyDescent="0.3">
      <c r="A15">
        <v>13</v>
      </c>
      <c r="B15" t="s">
        <v>30</v>
      </c>
      <c r="C15">
        <v>99</v>
      </c>
      <c r="D15">
        <v>94</v>
      </c>
      <c r="E15">
        <v>95</v>
      </c>
      <c r="F15">
        <f>SUM(C15:E15)</f>
        <v>288</v>
      </c>
      <c r="G15">
        <f t="shared" si="0"/>
        <v>96</v>
      </c>
      <c r="H15" t="str" cm="1">
        <f t="array" ref="H15">_xlfn.IFS(G15&gt;=85,"A",G15&gt;=65,"B",G15&gt;=25,"C")</f>
        <v>A</v>
      </c>
      <c r="I15" t="str">
        <f t="shared" si="1"/>
        <v>pass</v>
      </c>
    </row>
    <row r="16" spans="1:9" x14ac:dyDescent="0.3">
      <c r="A16">
        <v>14</v>
      </c>
      <c r="B16" t="s">
        <v>31</v>
      </c>
      <c r="C16">
        <v>35</v>
      </c>
      <c r="D16">
        <v>55</v>
      </c>
      <c r="E16">
        <v>89</v>
      </c>
      <c r="F16">
        <f>SUM(C16:E16)</f>
        <v>179</v>
      </c>
      <c r="G16">
        <f t="shared" si="0"/>
        <v>59.666666666666664</v>
      </c>
      <c r="H16" t="str" cm="1">
        <f t="array" ref="H16">_xlfn.IFS(G16&gt;=85,"A",G16&gt;=65,"B",G16&gt;=25,"C")</f>
        <v>C</v>
      </c>
      <c r="I16" t="str">
        <f t="shared" si="1"/>
        <v>pass</v>
      </c>
    </row>
    <row r="17" spans="1:9" x14ac:dyDescent="0.3">
      <c r="A17">
        <v>15</v>
      </c>
      <c r="B17" t="s">
        <v>32</v>
      </c>
      <c r="C17">
        <v>67</v>
      </c>
      <c r="D17">
        <v>54</v>
      </c>
      <c r="E17">
        <v>55</v>
      </c>
      <c r="F17">
        <f>SUM(C17:E17)</f>
        <v>176</v>
      </c>
      <c r="G17">
        <f t="shared" si="0"/>
        <v>58.666666666666664</v>
      </c>
      <c r="H17" t="str" cm="1">
        <f t="array" ref="H17">_xlfn.IFS(G17&gt;=85,"A",G17&gt;=65,"B",G17&gt;=25,"C")</f>
        <v>C</v>
      </c>
      <c r="I17" t="str">
        <f t="shared" si="1"/>
        <v>pass</v>
      </c>
    </row>
    <row r="18" spans="1:9" x14ac:dyDescent="0.3">
      <c r="A18">
        <v>16</v>
      </c>
      <c r="B18" t="s">
        <v>33</v>
      </c>
      <c r="C18">
        <v>59</v>
      </c>
      <c r="D18">
        <v>68</v>
      </c>
      <c r="E18">
        <v>78</v>
      </c>
      <c r="F18">
        <f>SUM(C18:E18)</f>
        <v>205</v>
      </c>
      <c r="G18">
        <f t="shared" si="0"/>
        <v>68.333333333333329</v>
      </c>
      <c r="H18" t="str" cm="1">
        <f t="array" ref="H18">_xlfn.IFS(G18&gt;=85,"A",G18&gt;=65,"B",G18&gt;=25,"C")</f>
        <v>B</v>
      </c>
      <c r="I18" t="str">
        <f t="shared" si="1"/>
        <v>pass</v>
      </c>
    </row>
    <row r="19" spans="1:9" x14ac:dyDescent="0.3">
      <c r="A19">
        <v>17</v>
      </c>
      <c r="B19" t="s">
        <v>34</v>
      </c>
      <c r="C19">
        <v>44</v>
      </c>
      <c r="D19">
        <v>39</v>
      </c>
      <c r="E19">
        <v>55</v>
      </c>
      <c r="F19">
        <f>SUM(C19:E19)</f>
        <v>138</v>
      </c>
      <c r="G19">
        <f t="shared" si="0"/>
        <v>46</v>
      </c>
      <c r="H19" t="str" cm="1">
        <f t="array" ref="H19">_xlfn.IFS(G19&gt;=85,"A",G19&gt;=65,"B",G19&gt;=25,"C")</f>
        <v>C</v>
      </c>
      <c r="I19" t="str">
        <f t="shared" si="1"/>
        <v>pass</v>
      </c>
    </row>
    <row r="20" spans="1:9" x14ac:dyDescent="0.3">
      <c r="A20">
        <v>18</v>
      </c>
      <c r="B20" t="s">
        <v>35</v>
      </c>
      <c r="C20">
        <v>90</v>
      </c>
      <c r="D20">
        <v>88</v>
      </c>
      <c r="E20">
        <v>85</v>
      </c>
      <c r="F20">
        <f>SUM(C20:E20)</f>
        <v>263</v>
      </c>
      <c r="G20">
        <f t="shared" si="0"/>
        <v>87.666666666666671</v>
      </c>
      <c r="H20" t="str" cm="1">
        <f t="array" ref="H20">_xlfn.IFS(G20&gt;=85,"A",G20&gt;=65,"B",G20&gt;=25,"C")</f>
        <v>A</v>
      </c>
      <c r="I20" t="str">
        <f t="shared" si="1"/>
        <v>pass</v>
      </c>
    </row>
    <row r="21" spans="1:9" x14ac:dyDescent="0.3">
      <c r="A21">
        <v>19</v>
      </c>
      <c r="B21" t="s">
        <v>36</v>
      </c>
      <c r="C21">
        <v>76</v>
      </c>
      <c r="D21">
        <v>77</v>
      </c>
      <c r="E21">
        <v>78</v>
      </c>
      <c r="F21">
        <f>SUM(C21:E21)</f>
        <v>231</v>
      </c>
      <c r="G21">
        <f t="shared" si="0"/>
        <v>77</v>
      </c>
      <c r="H21" t="str" cm="1">
        <f t="array" ref="H21">_xlfn.IFS(G21&gt;=85,"A",G21&gt;=65,"B",G21&gt;=25,"C")</f>
        <v>B</v>
      </c>
      <c r="I21" t="str">
        <f t="shared" si="1"/>
        <v>pass</v>
      </c>
    </row>
    <row r="22" spans="1:9" x14ac:dyDescent="0.3">
      <c r="A22">
        <v>20</v>
      </c>
      <c r="B22" t="s">
        <v>37</v>
      </c>
      <c r="C22">
        <v>39</v>
      </c>
      <c r="D22">
        <v>44</v>
      </c>
      <c r="E22">
        <v>39</v>
      </c>
      <c r="F22">
        <f>SUM(C22:E22)</f>
        <v>122</v>
      </c>
      <c r="G22">
        <f t="shared" si="0"/>
        <v>40.666666666666664</v>
      </c>
      <c r="H22" t="str" cm="1">
        <f t="array" ref="H22">_xlfn.IFS(G22&gt;=85,"A",G22&gt;=65,"B",G22&gt;=25,"C")</f>
        <v>C</v>
      </c>
      <c r="I22" t="str">
        <f t="shared" si="1"/>
        <v>pass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Vijayalaxmi Mayappanavar</dc:creator>
  <cp:lastModifiedBy>Vijayalaxmi Mayappanavar</cp:lastModifiedBy>
  <dcterms:created xsi:type="dcterms:W3CDTF">2026-06-30T07:02:41Z</dcterms:created>
  <dcterms:modified xsi:type="dcterms:W3CDTF">2026-06-30T07:28:16Z</dcterms:modified>
</cp:coreProperties>
</file>